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Resumo Executivo" sheetId="2" state="visible" r:id="rId2"/>
    <sheet xmlns:r="http://schemas.openxmlformats.org/officeDocument/2006/relationships" name="Planilha de Cu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-(R$ #,##0.00);&quot;-&quot;"/>
    <numFmt numFmtId="165" formatCode="0.00&quot;x&quot;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595959"/>
      <sz val="9"/>
    </font>
    <font>
      <name val="Calibri"/>
      <b val="1"/>
      <color rgb="001F4E78"/>
      <sz val="20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AEAEA"/>
        <bgColor rgb="00EAEAEA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2F4F7"/>
        <bgColor rgb="00F2F4F7"/>
      </patternFill>
    </fill>
  </fills>
  <borders count="6">
    <border>
      <left/>
      <right/>
      <top/>
      <bottom/>
      <diagonal/>
    </border>
    <border>
      <bottom style="thin">
        <color rgb="00D3D3D3"/>
      </bottom>
    </border>
    <border>
      <left/>
      <right/>
      <top/>
      <bottom style="thin">
        <color rgb="00D3D3D3"/>
      </bottom>
      <diagonal/>
    </border>
    <border>
      <bottom style="medium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3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0" fillId="6" borderId="4" pivotButton="0" quotePrefix="0" xfId="0"/>
    <xf numFmtId="0" fontId="0" fillId="7" borderId="4" pivotButton="0" quotePrefix="0" xfId="0"/>
    <xf numFmtId="0" fontId="6" fillId="8" borderId="4" applyAlignment="1" pivotButton="0" quotePrefix="0" xfId="0">
      <alignment horizontal="center" vertical="center"/>
    </xf>
    <xf numFmtId="0" fontId="0" fillId="0" borderId="4" pivotButton="0" quotePrefix="0" xfId="0"/>
    <xf numFmtId="3" fontId="7" fillId="8" borderId="4" applyAlignment="1" pivotButton="0" quotePrefix="0" xfId="0">
      <alignment horizontal="center" vertical="center"/>
    </xf>
    <xf numFmtId="0" fontId="0" fillId="8" borderId="4" pivotButton="0" quotePrefix="0" xfId="0"/>
    <xf numFmtId="164" fontId="7" fillId="8" borderId="4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0" fillId="6" borderId="5" pivotButton="0" quotePrefix="0" xfId="0"/>
    <xf numFmtId="0" fontId="8" fillId="6" borderId="5" applyAlignment="1" pivotButton="0" quotePrefix="0" xfId="0">
      <alignment horizontal="left" vertical="center"/>
    </xf>
    <xf numFmtId="3" fontId="8" fillId="6" borderId="5" applyAlignment="1" pivotButton="0" quotePrefix="0" xfId="0">
      <alignment horizontal="center" vertical="center"/>
    </xf>
    <xf numFmtId="164" fontId="8" fillId="6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do Custo Mensal do Contrato por Cargo</a:t>
            </a:r>
          </a:p>
        </rich>
      </tx>
    </title>
    <plotArea>
      <doughnutChart>
        <varyColors val="1"/>
        <ser>
          <idx val="0"/>
          <order val="0"/>
          <tx>
            <strRef>
              <f>'Planilha de Custos'!I6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'Planilha de Custos'!$C$7:$C$12</f>
            </numRef>
          </cat>
          <val>
            <numRef>
              <f>'Planilha de Custos'!$I$7:$I$12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30" customWidth="1" min="4" max="4"/>
    <col width="25" customWidth="1" min="5" max="5"/>
    <col width="25" customWidth="1" min="6" max="6"/>
  </cols>
  <sheetData>
    <row r="2">
      <c r="B2" s="1" t="inlineStr">
        <is>
          <t>Planilha de Custos Contratuais</t>
        </is>
      </c>
    </row>
    <row r="3">
      <c r="B3" s="2" t="inlineStr">
        <is>
          <t>Termo de Referência nº 33/2025 | MDA</t>
        </is>
      </c>
    </row>
    <row r="5" ht="24" customHeight="1">
      <c r="B5" s="3" t="inlineStr">
        <is>
          <t>METADADOS DO CONTRATO</t>
        </is>
      </c>
    </row>
    <row r="6" ht="20" customHeight="1">
      <c r="B6" s="4" t="inlineStr">
        <is>
          <t>Órgão Contratante</t>
        </is>
      </c>
      <c r="C6" s="5" t="inlineStr">
        <is>
          <t>Ministério do Desenvolvimento Agrário e Agricultura Familiar (MDA) - Administração Direta</t>
        </is>
      </c>
      <c r="D6" s="6" t="n"/>
      <c r="E6" s="6" t="n"/>
      <c r="F6" s="6" t="n"/>
    </row>
    <row r="7" ht="20" customHeight="1">
      <c r="B7" s="4" t="inlineStr">
        <is>
          <t>UASG</t>
        </is>
      </c>
      <c r="C7" s="5" t="inlineStr">
        <is>
          <t>490011-MIN. DESENV. AGRARIO-ADMINISTRACAO DIRETA</t>
        </is>
      </c>
      <c r="D7" s="6" t="n"/>
      <c r="E7" s="6" t="n"/>
      <c r="F7" s="6" t="n"/>
    </row>
    <row r="8" ht="20" customHeight="1">
      <c r="B8" s="4" t="inlineStr">
        <is>
          <t>Processo Administrativo</t>
        </is>
      </c>
      <c r="C8" s="5" t="inlineStr">
        <is>
          <t>55000.020635/2025-81</t>
        </is>
      </c>
      <c r="D8" s="6" t="n"/>
      <c r="E8" s="6" t="n"/>
      <c r="F8" s="6" t="n"/>
    </row>
    <row r="9" ht="20" customHeight="1">
      <c r="B9" s="4" t="inlineStr">
        <is>
          <t>Número da Contratação</t>
        </is>
      </c>
      <c r="C9" s="5" t="inlineStr">
        <is>
          <t>64/2025 (Dispensa Emergencial)</t>
        </is>
      </c>
      <c r="D9" s="6" t="n"/>
      <c r="E9" s="6" t="n"/>
      <c r="F9" s="6" t="n"/>
    </row>
    <row r="10" ht="20" customHeight="1">
      <c r="B10" s="4" t="inlineStr">
        <is>
          <t>Regime de Execução</t>
        </is>
      </c>
      <c r="C10" s="5" t="inlineStr">
        <is>
          <t>Serviço continuado com dedicação exclusiva de mão de obra (Empreitada Global)</t>
        </is>
      </c>
      <c r="D10" s="6" t="n"/>
      <c r="E10" s="6" t="n"/>
      <c r="F10" s="6" t="n"/>
    </row>
    <row r="11" ht="20" customHeight="1">
      <c r="B11" s="4" t="inlineStr">
        <is>
          <t>Prazo de Vigência</t>
        </is>
      </c>
      <c r="C11" s="5" t="inlineStr">
        <is>
          <t>Até 12 meses (improrrogável)</t>
        </is>
      </c>
      <c r="D11" s="6" t="n"/>
      <c r="E11" s="6" t="n"/>
      <c r="F11" s="6" t="n"/>
    </row>
    <row r="12" ht="20" customHeight="1">
      <c r="B12" s="4" t="inlineStr">
        <is>
          <t>Legislação Base</t>
        </is>
      </c>
      <c r="C12" s="5" t="inlineStr">
        <is>
          <t>Lei nº 14.133/2021, Art. 75, inciso VIII (Emergencial)</t>
        </is>
      </c>
      <c r="D12" s="6" t="n"/>
      <c r="E12" s="6" t="n"/>
      <c r="F12" s="6" t="n"/>
    </row>
    <row r="14" ht="24" customHeight="1">
      <c r="B14" s="3" t="inlineStr">
        <is>
          <t>ESTRUTURA DO CADERNO</t>
        </is>
      </c>
    </row>
    <row r="15" ht="20" customHeight="1">
      <c r="B15" s="7" t="inlineStr">
        <is>
          <t>Aba</t>
        </is>
      </c>
      <c r="C15" s="7" t="inlineStr">
        <is>
          <t>Descrição</t>
        </is>
      </c>
      <c r="D15" s="7" t="inlineStr">
        <is>
          <t>Objetivo</t>
        </is>
      </c>
    </row>
    <row r="16" ht="20" customHeight="1">
      <c r="B16" s="4" t="inlineStr">
        <is>
          <t>Capa</t>
        </is>
      </c>
      <c r="C16" s="5" t="inlineStr">
        <is>
          <t>Metadados do contrato, estrutura do arquivo e legenda de cores.</t>
        </is>
      </c>
      <c r="D16" s="8" t="inlineStr">
        <is>
          <t>Navegação e Identificação</t>
        </is>
      </c>
    </row>
    <row r="17" ht="20" customHeight="1">
      <c r="B17" s="4" t="inlineStr">
        <is>
          <t>Resumo Executivo</t>
        </is>
      </c>
      <c r="C17" s="5" t="inlineStr">
        <is>
          <t>Painel macro com KPIs, dotação orçamentária e gráficos de distribuição.</t>
        </is>
      </c>
      <c r="D17" s="8" t="inlineStr">
        <is>
          <t>Apresentação Gerencial / Tomada de Decisão</t>
        </is>
      </c>
    </row>
    <row r="18" ht="20" customHeight="1">
      <c r="B18" s="4" t="inlineStr">
        <is>
          <t>Planilha de Custos</t>
        </is>
      </c>
      <c r="C18" s="5" t="inlineStr">
        <is>
          <t>Cálculo detalhado dos custos mensais e anuais por posto de trabalho com base no salário.</t>
        </is>
      </c>
      <c r="D18" s="8" t="inlineStr">
        <is>
          <t>Auditoria e Planejamento Operacional</t>
        </is>
      </c>
    </row>
    <row r="20" ht="24" customHeight="1">
      <c r="B20" s="3" t="inlineStr">
        <is>
          <t>CONVENÇÃO DE CORES (LEGENDA)</t>
        </is>
      </c>
    </row>
    <row r="21" ht="20" customHeight="1">
      <c r="B21" s="9" t="n"/>
      <c r="C21" s="4" t="inlineStr">
        <is>
          <t>Azul Claro</t>
        </is>
      </c>
      <c r="D21" s="5" t="inlineStr">
        <is>
          <t>Célula de Entrada / Dado de Origem (editável pelo usuário)</t>
        </is>
      </c>
      <c r="E21" s="6" t="n"/>
      <c r="F21" s="6" t="n"/>
    </row>
    <row r="22" ht="20" customHeight="1">
      <c r="B22" s="10" t="n"/>
      <c r="C22" s="4" t="inlineStr">
        <is>
          <t>Verde Claro</t>
        </is>
      </c>
      <c r="D22" s="5" t="inlineStr">
        <is>
          <t>Célula de Cálculo (fórmula do Excel, não deve ser alterada manualmente)</t>
        </is>
      </c>
      <c r="E22" s="6" t="n"/>
      <c r="F22" s="6" t="n"/>
    </row>
    <row r="23" ht="20" customHeight="1">
      <c r="B23" s="11" t="n"/>
      <c r="C23" s="4" t="inlineStr">
        <is>
          <t>Azul Escuro</t>
        </is>
      </c>
      <c r="D23" s="5" t="inlineStr">
        <is>
          <t>Títulos de Seção, Cabeçalhos e Linhas de Totalização</t>
        </is>
      </c>
      <c r="E23" s="6" t="n"/>
      <c r="F23" s="6" t="n"/>
    </row>
    <row r="24" ht="20" customHeight="1">
      <c r="B24" s="12" t="n"/>
      <c r="C24" s="4" t="inlineStr">
        <is>
          <t>Cinza Claro</t>
        </is>
      </c>
      <c r="D24" s="5" t="inlineStr">
        <is>
          <t>Linhas alternadas da tabela para facilitar a leitura (Zebra Striping)</t>
        </is>
      </c>
      <c r="E24" s="6" t="n"/>
      <c r="F24" s="6" t="n"/>
    </row>
  </sheetData>
  <mergeCells count="14">
    <mergeCell ref="D21:F21"/>
    <mergeCell ref="C9:F9"/>
    <mergeCell ref="C8:F8"/>
    <mergeCell ref="B20:F20"/>
    <mergeCell ref="D23:F23"/>
    <mergeCell ref="C12:F12"/>
    <mergeCell ref="D22:F22"/>
    <mergeCell ref="B5:F5"/>
    <mergeCell ref="C6:F6"/>
    <mergeCell ref="C7:F7"/>
    <mergeCell ref="C11:F11"/>
    <mergeCell ref="B14:F14"/>
    <mergeCell ref="C10:F10"/>
    <mergeCell ref="D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>
      <c r="B2" s="1" t="inlineStr">
        <is>
          <t>Painel Macro de Custos e Alocação</t>
        </is>
      </c>
    </row>
    <row r="3">
      <c r="B3" s="2" t="inlineStr">
        <is>
          <t>Indicadores de dotação e distribuição orçamentária</t>
        </is>
      </c>
    </row>
    <row r="5" ht="18" customHeight="1">
      <c r="B5" s="13" t="inlineStr">
        <is>
          <t>TOTAL DE COLABORADORES</t>
        </is>
      </c>
      <c r="C5" s="14" t="n"/>
      <c r="D5" s="13" t="inlineStr">
        <is>
          <t>CUSTO MENSAL DO CONTRATO</t>
        </is>
      </c>
      <c r="E5" s="14" t="n"/>
      <c r="F5" s="13" t="inlineStr">
        <is>
          <t>VALOR TOTAL ANUAL</t>
        </is>
      </c>
      <c r="G5" s="14" t="n"/>
    </row>
    <row r="6" ht="20" customHeight="1">
      <c r="B6" s="15">
        <f>'Planilha de Custos'!G11</f>
        <v/>
      </c>
      <c r="C6" s="16" t="n"/>
      <c r="D6" s="17">
        <f>'Planilha de Custos'!H11</f>
        <v/>
      </c>
      <c r="E6" s="16" t="n"/>
      <c r="F6" s="17">
        <f>'Planilha de Custos'!I11</f>
        <v/>
      </c>
      <c r="G6" s="16" t="n"/>
    </row>
    <row r="7" ht="20" customHeight="1">
      <c r="B7" s="16" t="n"/>
      <c r="C7" s="16" t="n"/>
      <c r="D7" s="16" t="n"/>
      <c r="E7" s="16" t="n"/>
      <c r="F7" s="16" t="n"/>
      <c r="G7" s="16" t="n"/>
    </row>
    <row r="9" ht="24" customHeight="1">
      <c r="B9" s="3" t="inlineStr">
        <is>
          <t>ADEQUAÇÃO ORÇAMENTÁRIA</t>
        </is>
      </c>
    </row>
    <row r="10" ht="20" customHeight="1">
      <c r="B10" s="4" t="inlineStr">
        <is>
          <t>Gestão / Unidade</t>
        </is>
      </c>
      <c r="C10" s="5" t="inlineStr">
        <is>
          <t>00001/490011</t>
        </is>
      </c>
      <c r="D10" s="6" t="n"/>
      <c r="E10" s="6" t="n"/>
      <c r="F10" s="6" t="n"/>
      <c r="G10" s="6" t="n"/>
    </row>
    <row r="11" ht="20" customHeight="1">
      <c r="B11" s="4" t="inlineStr">
        <is>
          <t>Fonte de Recursos / Ação</t>
        </is>
      </c>
      <c r="C11" s="5" t="inlineStr">
        <is>
          <t>1000/21HB</t>
        </is>
      </c>
      <c r="D11" s="6" t="n"/>
      <c r="E11" s="6" t="n"/>
      <c r="F11" s="6" t="n"/>
      <c r="G11" s="6" t="n"/>
    </row>
    <row r="12" ht="20" customHeight="1">
      <c r="B12" s="4" t="inlineStr">
        <is>
          <t>Programa de Trabalho (PT)</t>
        </is>
      </c>
      <c r="C12" s="5" t="inlineStr">
        <is>
          <t>250613; 250615; 250616; 250616; 250617; 250622</t>
        </is>
      </c>
      <c r="D12" s="6" t="n"/>
      <c r="E12" s="6" t="n"/>
      <c r="F12" s="6" t="n"/>
      <c r="G12" s="6" t="n"/>
    </row>
    <row r="13" ht="20" customHeight="1">
      <c r="B13" s="4" t="inlineStr">
        <is>
          <t>Elemento de Despesa</t>
        </is>
      </c>
      <c r="C13" s="5" t="inlineStr">
        <is>
          <t>339037 (Locação de Mão de Obra)</t>
        </is>
      </c>
      <c r="D13" s="6" t="n"/>
      <c r="E13" s="6" t="n"/>
      <c r="F13" s="6" t="n"/>
      <c r="G13" s="6" t="n"/>
    </row>
    <row r="14" ht="20" customHeight="1">
      <c r="B14" s="4" t="inlineStr">
        <is>
          <t>Planos Internos (PIs)</t>
        </is>
      </c>
      <c r="C14" s="5" t="inlineStr">
        <is>
          <t>C0100A00DF5; C0100B00DF5; C0100F00DF5; C0100Q00DF5; C0100U00DF5</t>
        </is>
      </c>
      <c r="D14" s="6" t="n"/>
      <c r="E14" s="6" t="n"/>
      <c r="F14" s="6" t="n"/>
      <c r="G14" s="6" t="n"/>
    </row>
  </sheetData>
  <mergeCells count="12">
    <mergeCell ref="C12:G12"/>
    <mergeCell ref="C10:G10"/>
    <mergeCell ref="B5:C5"/>
    <mergeCell ref="F5:G5"/>
    <mergeCell ref="D5:E5"/>
    <mergeCell ref="B9:G9"/>
    <mergeCell ref="C11:G11"/>
    <mergeCell ref="D6:E7"/>
    <mergeCell ref="B6:C7"/>
    <mergeCell ref="F6:G7"/>
    <mergeCell ref="C14:G14"/>
    <mergeCell ref="C13:G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28" customWidth="1" min="3" max="3"/>
    <col width="10" customWidth="1" min="4" max="4"/>
    <col width="20" customWidth="1" min="5" max="5"/>
    <col width="20" customWidth="1" min="6" max="6"/>
    <col width="18" customWidth="1" min="7" max="7"/>
    <col width="15" customWidth="1" min="8" max="8"/>
    <col width="24" customWidth="1" min="9" max="9"/>
    <col width="24" customWidth="1" min="10" max="10"/>
  </cols>
  <sheetData>
    <row r="2">
      <c r="B2" s="1" t="inlineStr">
        <is>
          <t>Planilha de Custos e Formação de Preços</t>
        </is>
      </c>
    </row>
    <row r="3">
      <c r="B3" s="2" t="inlineStr">
        <is>
          <t>Demonstrativo detalhado dos postos e remunerações (TR 33/2025)</t>
        </is>
      </c>
    </row>
    <row r="5" ht="24" customHeight="1">
      <c r="B5" s="3" t="inlineStr">
        <is>
          <t>DETALHAMENTO DE CUSTOS POR CARGO</t>
        </is>
      </c>
    </row>
    <row r="6" ht="25" customHeight="1">
      <c r="B6" s="18" t="inlineStr">
        <is>
          <t>ITEM</t>
        </is>
      </c>
      <c r="C6" s="18" t="inlineStr">
        <is>
          <t>ESPECIFICAÇÃO</t>
        </is>
      </c>
      <c r="D6" s="18" t="inlineStr">
        <is>
          <t>CATSER</t>
        </is>
      </c>
      <c r="E6" s="18" t="inlineStr">
        <is>
          <t>SALÁRIO BASE (A)</t>
        </is>
      </c>
      <c r="F6" s="18" t="inlineStr">
        <is>
          <t>VALOR POSTO (B)</t>
        </is>
      </c>
      <c r="G6" s="18" t="inlineStr">
        <is>
          <t>FATOR MULT. (B/A)</t>
        </is>
      </c>
      <c r="H6" s="18" t="inlineStr">
        <is>
          <t>QUANTIDADE (C)</t>
        </is>
      </c>
      <c r="I6" s="18" t="inlineStr">
        <is>
          <t>VALOR MENSAL (B * C)</t>
        </is>
      </c>
      <c r="J6" s="18" t="inlineStr">
        <is>
          <t>VALOR TOTAL ANUAL</t>
        </is>
      </c>
    </row>
    <row r="7" ht="20" customHeight="1">
      <c r="B7" s="19" t="n">
        <v>1</v>
      </c>
      <c r="C7" s="5" t="inlineStr">
        <is>
          <t>Técnico em Secretariado</t>
        </is>
      </c>
      <c r="D7" s="8" t="n">
        <v>16578</v>
      </c>
      <c r="E7" s="20" t="n">
        <v>3095</v>
      </c>
      <c r="F7" s="20" t="n">
        <v>6910.73</v>
      </c>
      <c r="G7" s="21">
        <f>F7/E7</f>
        <v/>
      </c>
      <c r="H7" s="22" t="n">
        <v>71</v>
      </c>
      <c r="I7" s="23">
        <f>F7*H7</f>
        <v/>
      </c>
      <c r="J7" s="23">
        <f>I7*12</f>
        <v/>
      </c>
    </row>
    <row r="8" ht="20" customHeight="1">
      <c r="B8" s="24" t="n">
        <v>2</v>
      </c>
      <c r="C8" s="25" t="inlineStr">
        <is>
          <t>Secretariado Executivo</t>
        </is>
      </c>
      <c r="D8" s="26" t="n">
        <v>16578</v>
      </c>
      <c r="E8" s="20" t="n">
        <v>5930.48</v>
      </c>
      <c r="F8" s="20" t="n">
        <v>12132.58</v>
      </c>
      <c r="G8" s="21">
        <f>F8/E8</f>
        <v/>
      </c>
      <c r="H8" s="22" t="n">
        <v>34</v>
      </c>
      <c r="I8" s="23">
        <f>F8*H8</f>
        <v/>
      </c>
      <c r="J8" s="23">
        <f>I8*12</f>
        <v/>
      </c>
    </row>
    <row r="9" ht="20" customHeight="1">
      <c r="B9" s="19" t="n">
        <v>3</v>
      </c>
      <c r="C9" s="5" t="inlineStr">
        <is>
          <t>Secretário Bilingue</t>
        </is>
      </c>
      <c r="D9" s="8" t="n">
        <v>16578</v>
      </c>
      <c r="E9" s="20" t="n">
        <v>6718.55</v>
      </c>
      <c r="F9" s="20" t="n">
        <v>13601.11</v>
      </c>
      <c r="G9" s="21">
        <f>F9/E9</f>
        <v/>
      </c>
      <c r="H9" s="22" t="n">
        <v>8</v>
      </c>
      <c r="I9" s="23">
        <f>F9*H9</f>
        <v/>
      </c>
      <c r="J9" s="23">
        <f>I9*12</f>
        <v/>
      </c>
    </row>
    <row r="10" ht="20" customHeight="1">
      <c r="B10" s="24" t="n">
        <v>4</v>
      </c>
      <c r="C10" s="25" t="inlineStr">
        <is>
          <t>Recepcionista</t>
        </is>
      </c>
      <c r="D10" s="26" t="n">
        <v>5380</v>
      </c>
      <c r="E10" s="20" t="n">
        <v>2574.37</v>
      </c>
      <c r="F10" s="20" t="n">
        <v>5965.23</v>
      </c>
      <c r="G10" s="21">
        <f>F10/E10</f>
        <v/>
      </c>
      <c r="H10" s="22" t="n">
        <v>14</v>
      </c>
      <c r="I10" s="23">
        <f>F10*H10</f>
        <v/>
      </c>
      <c r="J10" s="23">
        <f>I10*12</f>
        <v/>
      </c>
    </row>
    <row r="11" ht="20" customHeight="1">
      <c r="B11" s="19" t="n">
        <v>5</v>
      </c>
      <c r="C11" s="5" t="inlineStr">
        <is>
          <t>Encarregado Geral</t>
        </is>
      </c>
      <c r="D11" s="8" t="n">
        <v>25623</v>
      </c>
      <c r="E11" s="20" t="n">
        <v>4220.33</v>
      </c>
      <c r="F11" s="20" t="n">
        <v>9202.26</v>
      </c>
      <c r="G11" s="21">
        <f>F11/E11</f>
        <v/>
      </c>
      <c r="H11" s="22" t="n">
        <v>1</v>
      </c>
      <c r="I11" s="23">
        <f>F11*H11</f>
        <v/>
      </c>
      <c r="J11" s="23">
        <f>I11*12</f>
        <v/>
      </c>
    </row>
    <row r="12" ht="20" customHeight="1">
      <c r="B12" s="24" t="n">
        <v>6</v>
      </c>
      <c r="C12" s="25" t="inlineStr">
        <is>
          <t>Assistente Administrativo</t>
        </is>
      </c>
      <c r="D12" s="26" t="n">
        <v>5380</v>
      </c>
      <c r="E12" s="20" t="n">
        <v>3182.95</v>
      </c>
      <c r="F12" s="20" t="n">
        <v>7269.15</v>
      </c>
      <c r="G12" s="21">
        <f>F12/E12</f>
        <v/>
      </c>
      <c r="H12" s="22" t="n">
        <v>184</v>
      </c>
      <c r="I12" s="23">
        <f>F12*H12</f>
        <v/>
      </c>
      <c r="J12" s="23">
        <f>I12*12</f>
        <v/>
      </c>
    </row>
    <row r="13" ht="24" customHeight="1">
      <c r="B13" s="27" t="n"/>
      <c r="C13" s="28" t="inlineStr">
        <is>
          <t>VALOR TOTAL</t>
        </is>
      </c>
      <c r="D13" s="27" t="n"/>
      <c r="E13" s="27" t="n"/>
      <c r="F13" s="27" t="n"/>
      <c r="G13" s="27" t="n"/>
      <c r="H13" s="29">
        <f>SUM(H7:H12)</f>
        <v/>
      </c>
      <c r="I13" s="30">
        <f>SUM(I7:I12)</f>
        <v/>
      </c>
      <c r="J13" s="30">
        <f>SUM(J7:J12)</f>
        <v/>
      </c>
    </row>
  </sheetData>
  <mergeCells count="1">
    <mergeCell ref="B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2026-08-25T17:17:30Z</dcterms:created>
  <dcterms:modified xmlns:dcterms="http://purl.org/dc/terms/" xmlns:xsi="http://www.w3.org/2001/XMLSchema-instance" xsi:type="dcterms:W3CDTF">2026-08-25T17:17:30Z</dcterms:modified>
</cp:coreProperties>
</file>